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c667d7e11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3cde680890421f"/>
    <x:sheet xmlns:r="http://schemas.openxmlformats.org/officeDocument/2006/relationships" name="Main_15_Substacks" sheetId="2" r:id="R63adb55a57074c73"/>
    <x:sheet xmlns:r="http://schemas.openxmlformats.org/officeDocument/2006/relationships" name="Extended_Options" sheetId="3" r:id="Rf377d6ff9a054286"/>
    <x:sheet xmlns:r="http://schemas.openxmlformats.org/officeDocument/2006/relationships" name="Removal_Analysis_Map" sheetId="4" r:id="R499ea23a3a434502"/>
    <x:sheet xmlns:r="http://schemas.openxmlformats.org/officeDocument/2006/relationships" name="Removal_Rule_Matrix" sheetId="5" r:id="Rddf23c345f1949f6"/>
    <x:sheet xmlns:r="http://schemas.openxmlformats.org/officeDocument/2006/relationships" name="Implementation_Checklist" sheetId="6" r:id="Reb9dd1215a05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49771aca642b0" /><Relationship Type="http://schemas.openxmlformats.org/officeDocument/2006/relationships/theme" Target="/xl/theme/theme1.xml" Id="Rfda4ccaf8f024e4d" /><Relationship Type="http://schemas.openxmlformats.org/officeDocument/2006/relationships/sharedStrings" Target="/xl/sharedStrings.xml" Id="R260cc45b501b4b74" /><Relationship Type="http://schemas.openxmlformats.org/officeDocument/2006/relationships/worksheet" Target="/xl/worksheets/sheet1.xml" Id="R3f3cde680890421f" /><Relationship Type="http://schemas.openxmlformats.org/officeDocument/2006/relationships/worksheet" Target="/xl/worksheets/sheet2.xml" Id="R63adb55a57074c73" /><Relationship Type="http://schemas.openxmlformats.org/officeDocument/2006/relationships/worksheet" Target="/xl/worksheets/sheet3.xml" Id="Rf377d6ff9a054286" /><Relationship Type="http://schemas.openxmlformats.org/officeDocument/2006/relationships/worksheet" Target="/xl/worksheets/sheet4.xml" Id="R499ea23a3a434502" /><Relationship Type="http://schemas.openxmlformats.org/officeDocument/2006/relationships/worksheet" Target="/xl/worksheets/sheet5.xml" Id="Rddf23c345f1949f6" /><Relationship Type="http://schemas.openxmlformats.org/officeDocument/2006/relationships/worksheet" Target="/xl/worksheets/sheet6.xml" Id="Reb9dd1215a054767" /></Relationships>
</file>

<file path=xl/tables/table1.xml><?xml version="1.0" encoding="utf-8"?>
<x:table xmlns:x="http://schemas.openxmlformats.org/spreadsheetml/2006/main" id="1" name="ReadmeTable" displayName="ReadmeTable" ref="A3:B9" headerRowCount="1">
  <x:tableColumns count="2">
    <x:tableColumn id="1" name="Item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Main15SubstacksTable" displayName="Main15SubstacksTable" ref="A3:O18" headerRowCount="1">
  <x:tableColumns count="15">
    <x:tableColumn id="1" name="Substack ID"/>
    <x:tableColumn id="2" name="Parent Function Category"/>
    <x:tableColumn id="3" name="Substack Name"/>
    <x:tableColumn id="4" name="Design Purpose"/>
    <x:tableColumn id="5" name="Scheduling Signature"/>
    <x:tableColumn id="6" name="Rule Density"/>
    <x:tableColumn id="7" name="Expected Removal Effect"/>
    <x:tableColumn id="8" name="Core Ingredients"/>
    <x:tableColumn id="9" name="Optional Ingredients"/>
    <x:tableColumn id="10" name="Core Ingredient Count"/>
    <x:tableColumn id="11" name="Optional Ingredient Count"/>
    <x:tableColumn id="12" name="Total Candidate Ingredients"/>
    <x:tableColumn id="13" name="Product Matching Policy"/>
    <x:tableColumn id="14" name="Priority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tendedOptionsTable" displayName="ExtendedOptionsTable" ref="A3:I9" headerRowCount="1">
  <x:tableColumns count="9">
    <x:tableColumn id="1" name="Candidate ID"/>
    <x:tableColumn id="2" name="Candidate Substack"/>
    <x:tableColumn id="3" name="Parent Category"/>
    <x:tableColumn id="4" name="Split From"/>
    <x:tableColumn id="5" name="Use If"/>
    <x:tableColumn id="6" name="Representative Ingredients"/>
    <x:tableColumn id="7" name="Expected Benefit for Removal Analysis"/>
    <x:tableColumn id="8" name="Risk / Reason to Merge Back"/>
    <x:tableColumn id="9" name="Recommended Action"/>
  </x:tableColumns>
  <x:tableStyleInfo name="TableStyleMedium2" showRowStripes="1"/>
</x:table>
</file>

<file path=xl/tables/table4.xml><?xml version="1.0" encoding="utf-8"?>
<x:table xmlns:x="http://schemas.openxmlformats.org/spreadsheetml/2006/main" id="4" name="RemovalMapTable" displayName="RemovalMapTable" ref="A3:G10" headerRowCount="1">
  <x:tableColumns count="7">
    <x:tableColumn id="1" name="Test ID"/>
    <x:tableColumn id="2" name="Removal Test"/>
    <x:tableColumn id="3" name="Included / Removed Units"/>
    <x:tableColumn id="4" name="Purpose"/>
    <x:tableColumn id="5" name="Expected Signal"/>
    <x:tableColumn id="6" name="Primary Metrics"/>
    <x:tableColumn id="7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RuleMatrixTable" displayName="RuleMatrixTable" ref="A3:H18" headerRowCount="1">
  <x:tableColumns count="8">
    <x:tableColumn id="1" name="Substack ID"/>
    <x:tableColumn id="2" name="Substack Name"/>
    <x:tableColumn id="3" name="Rule-Rich?"/>
    <x:tableColumn id="4" name="Timing-Sensitive?"/>
    <x:tableColumn id="5" name="Food-Context-Sensitive?"/>
    <x:tableColumn id="6" name="Mechanism/Extra-effect Potential"/>
    <x:tableColumn id="7" name="Removal Priority"/>
    <x:tableColumn id="8" name="Why This Helps"/>
  </x:tableColumns>
  <x:tableStyleInfo name="TableStyleMedium2" showRowStripes="1"/>
</x:table>
</file>

<file path=xl/tables/table6.xml><?xml version="1.0" encoding="utf-8"?>
<x:table xmlns:x="http://schemas.openxmlformats.org/spreadsheetml/2006/main" id="6" name="ImplementationChecklistTable" displayName="ImplementationChecklistTable" ref="A3:E13" headerRowCount="1">
  <x:tableColumns count="5">
    <x:tableColumn id="1" name="Step"/>
    <x:tableColumn id="2" name="Task"/>
    <x:tableColumn id="3" name="Status"/>
    <x:tableColumn id="4" name="Decision / Output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da3cf935249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be556229f145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8d119b185c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842b6996a1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98ba5641624c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255761cdf4481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24" customHeight="1">
      <x:c r="A1" s="5" t="str">
        <x:v>Type-II Functional Substack Split Plan</x:v>
      </x:c>
      <x:c r="B1" t="str"/>
    </x:row>
    <x:row r="3" ht="28" customHeight="1">
      <x:c r="A3" s="14" t="str">
        <x:v>Item</x:v>
      </x:c>
      <x:c r="B3" s="14" t="str">
        <x:v>Content</x:v>
      </x:c>
    </x:row>
    <x:row r="4">
      <x:c r="A4" s="21" t="str">
        <x:v>Workbook purpose</x:v>
      </x:c>
      <x:c r="B4" s="21" t="str">
        <x:v>Planning workbook for Type-II general functional substack split. It is ingredient-driven, product-coverage aware, and designed to support removal analysis.</x:v>
      </x:c>
    </x:row>
    <x:row r="5">
      <x:c r="A5" s="21" t="str">
        <x:v>Recommended main version</x:v>
      </x:c>
      <x:c r="B5" s="21" t="str">
        <x:v>15 substacks: enough granularity for removal analysis, but not too fragmented for product matching.</x:v>
      </x:c>
    </x:row>
    <x:row r="6">
      <x:c r="A6" s="21" t="str">
        <x:v>Extended version</x:v>
      </x:c>
      <x:c r="B6" s="21" t="str">
        <x:v>Optional split candidates are included for 18+ substacks if product/rule coverage is sufficient.</x:v>
      </x:c>
    </x:row>
    <x:row r="7">
      <x:c r="A7" s="21" t="str">
        <x:v>Selection principle</x:v>
      </x:c>
      <x:c r="B7" s="21" t="str">
        <x:v>Use existing product_ingredient_mapping and simple_ingredient where possible; avoid adding rare ingredients unless they are strongly useful and common.</x:v>
      </x:c>
    </x:row>
    <x:row r="8">
      <x:c r="A8" s="21" t="str">
        <x:v>Removal-analysis principle</x:v>
      </x:c>
      <x:c r="B8" s="21" t="str">
        <x:v>Prioritize substacks with distinct scheduling signatures and rule density, so removal effects are interpretable.</x:v>
      </x:c>
    </x:row>
    <x:row r="9">
      <x:c r="A9" s="21" t="str">
        <x:v>Generated on</x:v>
      </x:c>
      <x:c r="B9" s="21" t="str">
        <x:v>2026-07-05 00:30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fcda3cf935249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44" hidden="0" customWidth="1"/>
    <x:col min="5" max="5" width="32" hidden="0" customWidth="1"/>
    <x:col min="6" max="6" width="14" hidden="0" customWidth="1"/>
    <x:col min="7" max="7" width="38" hidden="0" customWidth="1"/>
    <x:col min="8" max="8" width="52" hidden="0" customWidth="1"/>
    <x:col min="9" max="9" width="40" hidden="0" customWidth="1"/>
    <x:col min="10" max="10" width="16" hidden="0" customWidth="1"/>
    <x:col min="11" max="11" width="18" hidden="0" customWidth="1"/>
    <x:col min="12" max="12" width="20" hidden="0" customWidth="1"/>
    <x:col min="13" max="13" width="48" hidden="0" customWidth="1"/>
    <x:col min="14" max="14" width="12" hidden="0" customWidth="1"/>
    <x:col min="15" max="15" width="46" hidden="0" customWidth="1"/>
  </x:cols>
  <x:sheetData>
    <x:row r="1" ht="24" customHeight="1">
      <x:c r="A1" s="5" t="str">
        <x:v>Main Type-II Split: 15 General Functional Substacks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</x:row>
    <x:row r="3" ht="28" customHeight="1">
      <x:c r="A3" s="14" t="str">
        <x:v>Substack ID</x:v>
      </x:c>
      <x:c r="B3" s="14" t="str">
        <x:v>Parent Function Category</x:v>
      </x:c>
      <x:c r="C3" s="14" t="str">
        <x:v>Substack Name</x:v>
      </x:c>
      <x:c r="D3" s="14" t="str">
        <x:v>Design Purpose</x:v>
      </x:c>
      <x:c r="E3" s="14" t="str">
        <x:v>Scheduling Signature</x:v>
      </x:c>
      <x:c r="F3" s="14" t="str">
        <x:v>Rule Density</x:v>
      </x:c>
      <x:c r="G3" s="14" t="str">
        <x:v>Expected Removal Effect</x:v>
      </x:c>
      <x:c r="H3" s="14" t="str">
        <x:v>Core Ingredients</x:v>
      </x:c>
      <x:c r="I3" s="14" t="str">
        <x:v>Optional Ingredients</x:v>
      </x:c>
      <x:c r="J3" s="14" t="str">
        <x:v>Core Ingredient Count</x:v>
      </x:c>
      <x:c r="K3" s="14" t="str">
        <x:v>Optional Ingredient Count</x:v>
      </x:c>
      <x:c r="L3" s="14" t="str">
        <x:v>Total Candidate Ingredients</x:v>
      </x:c>
      <x:c r="M3" s="14" t="str">
        <x:v>Product Matching Policy</x:v>
      </x:c>
      <x:c r="N3" s="14" t="str">
        <x:v>Priority</x:v>
      </x:c>
      <x:c r="O3" s="14" t="str">
        <x:v>Notes</x:v>
      </x:c>
    </x:row>
    <x:row r="4">
      <x:c r="A4" s="21" t="str">
        <x:v>T2-E1</x:v>
      </x:c>
      <x:c r="B4" s="21" t="str">
        <x:v>Essential Health</x:v>
      </x:c>
      <x:c r="C4" s="21" t="str">
        <x:v>Core Micronutrient Baseline</x:v>
      </x:c>
      <x:c r="D4" s="21" t="str">
        <x:v>General baseline vitamins/minerals; should not be biohacker-specific.</x:v>
      </x:c>
      <x:c r="E4" s="21" t="str">
        <x:v>meal_preferred or flexible</x:v>
      </x:c>
      <x:c r="F4" s="21" t="str">
        <x:v>Medium</x:v>
      </x:c>
      <x:c r="G4" s="21" t="str">
        <x:v>Moderate utility loss; low-to-medium interaction loss.</x:v>
      </x:c>
      <x:c r="H4" s="21" t="str">
        <x:v>Vitamin C; Vitamin B12; folate/5-MTHF; B-complex; selenium; iodine</x:v>
      </x:c>
      <x:c r="I4" s="21" t="str">
        <x:v>multivitamin; choline; phosphorus</x:v>
      </x:c>
      <x:c r="J4" s="21" t="n">
        <x:f>IF(H4="",0,LEN(H4)-LEN(SUBSTITUTE(H4,";",""))+1)</x:f>
        <x:v>6</x:v>
      </x:c>
      <x:c r="K4" s="21" t="n">
        <x:f>IF(I4="",0,LEN(I4)-LEN(SUBSTITUTE(I4,";",""))+1)</x:f>
        <x:v>3</x:v>
      </x:c>
      <x:c r="L4" s="21" t="n">
        <x:f>J4+K4</x:f>
        <x:v>9</x:v>
      </x:c>
      <x:c r="M4" s="21" t="str">
        <x:v>Prefer single-ingredient or clean multivitamin products already in product pool.</x:v>
      </x:c>
      <x:c r="N4" s="21" t="str">
        <x:v>Main</x:v>
      </x:c>
      <x:c r="O4" s="21" t="str">
        <x:v>Useful as a stable baseline comparator; not the most rule-rich group.</x:v>
      </x:c>
    </x:row>
    <x:row r="5">
      <x:c r="A5" s="21" t="str">
        <x:v>T2-E2</x:v>
      </x:c>
      <x:c r="B5" s="21" t="str">
        <x:v>Essential Health</x:v>
      </x:c>
      <x:c r="C5" s="21" t="str">
        <x:v>Mineral Absorption / Recovery</x:v>
      </x:c>
      <x:c r="D5" s="21" t="str">
        <x:v>Separate minerals because they have food and mineral-mineral scheduling interactions.</x:v>
      </x:c>
      <x:c r="E5" s="21" t="str">
        <x:v>meal_preferred; gap/spacing-sensitive</x:v>
      </x:c>
      <x:c r="F5" s="21" t="str">
        <x:v>High</x:v>
      </x:c>
      <x:c r="G5" s="21" t="str">
        <x:v>High scheduling-quality loss when removed if mineral-food rules are active.</x:v>
      </x:c>
      <x:c r="H5" s="21" t="str">
        <x:v>magnesium; zinc; iron; calcium; copper; potassium</x:v>
      </x:c>
      <x:c r="I5" s="21" t="str">
        <x:v>boron; chromium; manganese; molybdenum</x:v>
      </x:c>
      <x:c r="J5" s="21" t="n">
        <x:f>IF(H5="",0,LEN(H5)-LEN(SUBSTITUTE(H5,";",""))+1)</x:f>
        <x:v>6</x:v>
      </x:c>
      <x:c r="K5" s="21" t="n">
        <x:f>IF(I5="",0,LEN(I5)-LEN(SUBSTITUTE(I5,";",""))+1)</x:f>
        <x:v>4</x:v>
      </x:c>
      <x:c r="L5" s="21" t="n">
        <x:f>J5+K5</x:f>
        <x:v>10</x:v>
      </x:c>
      <x:c r="M5" s="21" t="str">
        <x:v>Prefer clean mineral products; avoid multivitamin rows unless needed for coverage.</x:v>
      </x:c>
      <x:c r="N5" s="21" t="str">
        <x:v>Main</x:v>
      </x:c>
      <x:c r="O5" s="21" t="str">
        <x:v>Very good for removal analysis because food-source and absorption rules can be triggered.</x:v>
      </x:c>
    </x:row>
    <x:row r="6">
      <x:c r="A6" s="21" t="str">
        <x:v>T2-E3</x:v>
      </x:c>
      <x:c r="B6" s="21" t="str">
        <x:v>Essential Health / Longevity</x:v>
      </x:c>
      <x:c r="C6" s="21" t="str">
        <x:v>Fat-Soluble / Omega / Carotenoid</x:v>
      </x:c>
      <x:c r="D6" s="21" t="str">
        <x:v>Group fat-soluble nutrients and fatty acids that benefit from meal/fat context.</x:v>
      </x:c>
      <x:c r="E6" s="21" t="str">
        <x:v>meal_preferred; fat-containing meal favorable</x:v>
      </x:c>
      <x:c r="F6" s="21" t="str">
        <x:v>High</x:v>
      </x:c>
      <x:c r="G6" s="21" t="str">
        <x:v>High food-context/timing loss if removed.</x:v>
      </x:c>
      <x:c r="H6" s="21" t="str">
        <x:v>omega-3; EPA; DHA; DPA; ESA; vitamin A; vitamin D; vitamin K2; astaxanthin</x:v>
      </x:c>
      <x:c r="I6" s="21" t="str">
        <x:v>lutein; zeaxanthin; lycopene; mixed carotenoids</x:v>
      </x:c>
      <x:c r="J6" s="21" t="n">
        <x:f>IF(H6="",0,LEN(H6)-LEN(SUBSTITUTE(H6,";",""))+1)</x:f>
        <x:v>9</x:v>
      </x:c>
      <x:c r="K6" s="21" t="n">
        <x:f>IF(I6="",0,LEN(I6)-LEN(SUBSTITUTE(I6,";",""))+1)</x:f>
        <x:v>4</x:v>
      </x:c>
      <x:c r="L6" s="21" t="n">
        <x:f>J6+K6</x:f>
        <x:v>13</x:v>
      </x:c>
      <x:c r="M6" s="21" t="str">
        <x:v>Prefer clean omega-3, vitamin D/K, carotenoid products; avoid broad blends unless product itself is representative.</x:v>
      </x:c>
      <x:c r="N6" s="21" t="str">
        <x:v>Main</x:v>
      </x:c>
      <x:c r="O6" s="21" t="str">
        <x:v>Strong bridge between Type-II stacks and food-aware scheduling.</x:v>
      </x:c>
    </x:row>
    <x:row r="7">
      <x:c r="A7" s="21" t="str">
        <x:v>T2-G1</x:v>
      </x:c>
      <x:c r="B7" s="21" t="str">
        <x:v>Gut / Microbiome</x:v>
      </x:c>
      <x:c r="C7" s="21" t="str">
        <x:v>Gut / Microbiome Foundation</x:v>
      </x:c>
      <x:c r="D7" s="21" t="str">
        <x:v>General probiotic/synbiotic/prebiotic foundation.</x:v>
      </x:c>
      <x:c r="E7" s="21" t="str">
        <x:v>wake_empty_preferred or gap_preferred; food/acid context may matter</x:v>
      </x:c>
      <x:c r="F7" s="21" t="str">
        <x:v>High</x:v>
      </x:c>
      <x:c r="G7" s="21" t="str">
        <x:v>High timing/rule loss if probiotic-food or empty-window logic is active.</x:v>
      </x:c>
      <x:c r="H7" s="21" t="str">
        <x:v>probiotic blend; Lactobacillus; Bifidobacterium; Akkermansia; Seed DS-01 strains; Saccharomyces boulardii</x:v>
      </x:c>
      <x:c r="I7" s="21" t="str">
        <x:v>inulin; prebiotic fiber; pomegranate polyphenolic precursors</x:v>
      </x:c>
      <x:c r="J7" s="21" t="n">
        <x:f>IF(H7="",0,LEN(H7)-LEN(SUBSTITUTE(H7,";",""))+1)</x:f>
        <x:v>6</x:v>
      </x:c>
      <x:c r="K7" s="21" t="n">
        <x:f>IF(I7="",0,LEN(I7)-LEN(SUBSTITUTE(I7,";",""))+1)</x:f>
        <x:v>3</x:v>
      </x:c>
      <x:c r="L7" s="21" t="n">
        <x:f>J7+K7</x:f>
        <x:v>9</x:v>
      </x:c>
      <x:c r="M7" s="21" t="str">
        <x:v>Prefer existing probiotic/synbiotic products; keep strain-level detail only when already in dataset.</x:v>
      </x:c>
      <x:c r="N7" s="21" t="str">
        <x:v>Main</x:v>
      </x:c>
      <x:c r="O7" s="21" t="str">
        <x:v>Can be split into G1 probiotics and G2 gut barrier/digestive support in extended version.</x:v>
      </x:c>
    </x:row>
    <x:row r="8">
      <x:c r="A8" s="21" t="str">
        <x:v>T2-S1</x:v>
      </x:c>
      <x:c r="B8" s="21" t="str">
        <x:v>Sleep Recovery</x:v>
      </x:c>
      <x:c r="C8" s="21" t="str">
        <x:v>Sleep Onset / Circadian</x:v>
      </x:c>
      <x:c r="D8" s="21" t="str">
        <x:v>Ingredients closest to sleep onset and circadian timing.</x:v>
      </x:c>
      <x:c r="E8" s="21" t="str">
        <x:v>bed_empty_preferred or bed_empty_required; special-time-sensitive</x:v>
      </x:c>
      <x:c r="F8" s="21" t="str">
        <x:v>High</x:v>
      </x:c>
      <x:c r="G8" s="21" t="str">
        <x:v>Large bed-window/timing loss when removed.</x:v>
      </x:c>
      <x:c r="H8" s="21" t="str">
        <x:v>melatonin; 5-HTP; L-tryptophan; valerian; chamomile</x:v>
      </x:c>
      <x:c r="I8" s="21" t="str">
        <x:v>lemon balm; magnesium; GABA</x:v>
      </x:c>
      <x:c r="J8" s="21" t="n">
        <x:f>IF(H8="",0,LEN(H8)-LEN(SUBSTITUTE(H8,";",""))+1)</x:f>
        <x:v>5</x:v>
      </x:c>
      <x:c r="K8" s="21" t="n">
        <x:f>IF(I8="",0,LEN(I8)-LEN(SUBSTITUTE(I8,";",""))+1)</x:f>
        <x:v>3</x:v>
      </x:c>
      <x:c r="L8" s="21" t="n">
        <x:f>J8+K8</x:f>
        <x:v>8</x:v>
      </x:c>
      <x:c r="M8" s="21" t="str">
        <x:v>Prefer clean sleep-onset products; avoid broad sleep blends unless no clean product exists.</x:v>
      </x:c>
      <x:c r="N8" s="21" t="str">
        <x:v>Main</x:v>
      </x:c>
      <x:c r="O8" s="21" t="str">
        <x:v>Useful for showing bedtime-specific optimization.</x:v>
      </x:c>
    </x:row>
    <x:row r="9">
      <x:c r="A9" s="21" t="str">
        <x:v>T2-S2</x:v>
      </x:c>
      <x:c r="B9" s="21" t="str">
        <x:v>Sleep Recovery / Stress</x:v>
      </x:c>
      <x:c r="C9" s="21" t="str">
        <x:v>Calm / Stress / Deep Sleep Recovery</x:v>
      </x:c>
      <x:c r="D9" s="21" t="str">
        <x:v>Relaxation and recovery stack, broader than pure sleep onset.</x:v>
      </x:c>
      <x:c r="E9" s="21" t="str">
        <x:v>evening/bed preferred; sometimes flexible</x:v>
      </x:c>
      <x:c r="F9" s="21" t="str">
        <x:v>Medium-High</x:v>
      </x:c>
      <x:c r="G9" s="21" t="str">
        <x:v>Moderate-to-high recovery/timing loss.</x:v>
      </x:c>
      <x:c r="H9" s="21" t="str">
        <x:v>glycine; L-theanine; apigenin; magnesium glycinate; GABA; ashwagandha</x:v>
      </x:c>
      <x:c r="I9" s="21" t="str">
        <x:v>rhodiola; reishi; lemon balm</x:v>
      </x:c>
      <x:c r="J9" s="21" t="n">
        <x:f>IF(H9="",0,LEN(H9)-LEN(SUBSTITUTE(H9,";",""))+1)</x:f>
        <x:v>6</x:v>
      </x:c>
      <x:c r="K9" s="21" t="n">
        <x:f>IF(I9="",0,LEN(I9)-LEN(SUBSTITUTE(I9,";",""))+1)</x:f>
        <x:v>3</x:v>
      </x:c>
      <x:c r="L9" s="21" t="n">
        <x:f>J9+K9</x:f>
        <x:v>9</x:v>
      </x:c>
      <x:c r="M9" s="21" t="str">
        <x:v>Prefer products with clear single active ingredients; keep adaptogens here unless extended split is used.</x:v>
      </x:c>
      <x:c r="N9" s="21" t="str">
        <x:v>Main</x:v>
      </x:c>
      <x:c r="O9" s="21" t="str">
        <x:v>Can be split into S2 Calm/Deep Sleep and S3 Stress/Adaptogen in extended version.</x:v>
      </x:c>
    </x:row>
    <x:row r="10">
      <x:c r="A10" s="21" t="str">
        <x:v>T2-C1</x:v>
      </x:c>
      <x:c r="B10" s="21" t="str">
        <x:v>Cognition and Performance</x:v>
      </x:c>
      <x:c r="C10" s="21" t="str">
        <x:v>Cholinergic / Memory</x:v>
      </x:c>
      <x:c r="D10" s="21" t="str">
        <x:v>Mechanistically coherent cognition stack around choline signaling.</x:v>
      </x:c>
      <x:c r="E10" s="21" t="str">
        <x:v>morning/daytime preferred; avoid bed if stimulating</x:v>
      </x:c>
      <x:c r="F10" s="21" t="str">
        <x:v>High</x:v>
      </x:c>
      <x:c r="G10" s="21" t="str">
        <x:v>High mechanism/interaction loss if cholinergic rules are used.</x:v>
      </x:c>
      <x:c r="H10" s="21" t="str">
        <x:v>CDP-choline; citicoline; Alpha-GPC; choline; phosphatidylserine</x:v>
      </x:c>
      <x:c r="I10" s="21" t="str">
        <x:v>huperzine A; bacopa; lion's mane</x:v>
      </x:c>
      <x:c r="J10" s="21" t="n">
        <x:f>IF(H10="",0,LEN(H10)-LEN(SUBSTITUTE(H10,";",""))+1)</x:f>
        <x:v>5</x:v>
      </x:c>
      <x:c r="K10" s="21" t="n">
        <x:f>IF(I10="",0,LEN(I10)-LEN(SUBSTITUTE(I10,";",""))+1)</x:f>
        <x:v>3</x:v>
      </x:c>
      <x:c r="L10" s="21" t="n">
        <x:f>J10+K10</x:f>
        <x:v>8</x:v>
      </x:c>
      <x:c r="M10" s="21" t="str">
        <x:v>Prefer clean CDP-choline/Alpha-GPC/choline products; do not require specific recommender.</x:v>
      </x:c>
      <x:c r="N10" s="21" t="str">
        <x:v>Main</x:v>
      </x:c>
      <x:c r="O10" s="21" t="str">
        <x:v>Very strong candidate for removal analysis because it has a clear functional mechanism line.</x:v>
      </x:c>
    </x:row>
    <x:row r="11">
      <x:c r="A11" s="21" t="str">
        <x:v>T2-C2</x:v>
      </x:c>
      <x:c r="B11" s="21" t="str">
        <x:v>Cognition and Performance</x:v>
      </x:c>
      <x:c r="C11" s="21" t="str">
        <x:v>Focus / Stimulant</x:v>
      </x:c>
      <x:c r="D11" s="21" t="str">
        <x:v>Stimulant and attention-support products with clear late-day conflicts.</x:v>
      </x:c>
      <x:c r="E11" s="21" t="str">
        <x:v>morning/daytime preferred; avoid evening/bed</x:v>
      </x:c>
      <x:c r="F11" s="21" t="str">
        <x:v>High</x:v>
      </x:c>
      <x:c r="G11" s="21" t="str">
        <x:v>High timing-conflict loss, especially with sleep rules.</x:v>
      </x:c>
      <x:c r="H11" s="21" t="str">
        <x:v>caffeine; caffeine anhydrous; theobromine; theacrine; methylliberine; L-tyrosine</x:v>
      </x:c>
      <x:c r="I11" s="21" t="str">
        <x:v>green tea extract; yerba mate; phenylethylamine</x:v>
      </x:c>
      <x:c r="J11" s="21" t="n">
        <x:f>IF(H11="",0,LEN(H11)-LEN(SUBSTITUTE(H11,";",""))+1)</x:f>
        <x:v>6</x:v>
      </x:c>
      <x:c r="K11" s="21" t="n">
        <x:f>IF(I11="",0,LEN(I11)-LEN(SUBSTITUTE(I11,";",""))+1)</x:f>
        <x:v>3</x:v>
      </x:c>
      <x:c r="L11" s="21" t="n">
        <x:f>J11+K11</x:f>
        <x:v>9</x:v>
      </x:c>
      <x:c r="M11" s="21" t="str">
        <x:v>Prefer clean stimulant/nootropic products; avoid putting caffeine-containing foods here unless product-level supplement exists.</x:v>
      </x:c>
      <x:c r="N11" s="21" t="str">
        <x:v>Main</x:v>
      </x:c>
      <x:c r="O11" s="21" t="str">
        <x:v>One of the best groups to support timing-aware removal analysis.</x:v>
      </x:c>
    </x:row>
    <x:row r="12">
      <x:c r="A12" s="21" t="str">
        <x:v>T2-C3</x:v>
      </x:c>
      <x:c r="B12" s="21" t="str">
        <x:v>Cognition and Performance / Longevity</x:v>
      </x:c>
      <x:c r="C12" s="21" t="str">
        <x:v>Non-Stimulant Neuroenergy</x:v>
      </x:c>
      <x:c r="D12" s="21" t="str">
        <x:v>Brain-energy support without direct stimulant framing.</x:v>
      </x:c>
      <x:c r="E12" s="21" t="str">
        <x:v>morning/daytime or flexible; usually not bed-specific</x:v>
      </x:c>
      <x:c r="F12" s="21" t="str">
        <x:v>Medium</x:v>
      </x:c>
      <x:c r="G12" s="21" t="str">
        <x:v>Moderate utility and interaction loss.</x:v>
      </x:c>
      <x:c r="H12" s="21" t="str">
        <x:v>creatine; acetyl-L-carnitine; CoQ10; PQQ; B vitamins; alpha-lipoic acid</x:v>
      </x:c>
      <x:c r="I12" s="21" t="str">
        <x:v>taurine; phosphatidylserine; citicoline</x:v>
      </x:c>
      <x:c r="J12" s="21" t="n">
        <x:f>IF(H12="",0,LEN(H12)-LEN(SUBSTITUTE(H12,";",""))+1)</x:f>
        <x:v>6</x:v>
      </x:c>
      <x:c r="K12" s="21" t="n">
        <x:f>IF(I12="",0,LEN(I12)-LEN(SUBSTITUTE(I12,";",""))+1)</x:f>
        <x:v>3</x:v>
      </x:c>
      <x:c r="L12" s="21" t="n">
        <x:f>J12+K12</x:f>
        <x:v>9</x:v>
      </x:c>
      <x:c r="M12" s="21" t="str">
        <x:v>Use clean products already in pool; avoid overlap with L1 by assigning primary role case-by-case.</x:v>
      </x:c>
      <x:c r="N12" s="21" t="str">
        <x:v>Main</x:v>
      </x:c>
      <x:c r="O12" s="21" t="str">
        <x:v>Good bridge between cognition and mitochondrial longevity.</x:v>
      </x:c>
    </x:row>
    <x:row r="13">
      <x:c r="A13" s="21" t="str">
        <x:v>T2-P1</x:v>
      </x:c>
      <x:c r="B13" s="21" t="str">
        <x:v>Cognition and Performance</x:v>
      </x:c>
      <x:c r="C13" s="21" t="str">
        <x:v>Physical Performance / Muscle-Energy</x:v>
      </x:c>
      <x:c r="D13" s="21" t="str">
        <x:v>Exercise, muscle, strength, and recovery-oriented products.</x:v>
      </x:c>
      <x:c r="E13" s="21" t="str">
        <x:v>flexible; pre-workout/daytime; protein-type products meal/flexible</x:v>
      </x:c>
      <x:c r="F13" s="21" t="str">
        <x:v>Medium</x:v>
      </x:c>
      <x:c r="G13" s="21" t="str">
        <x:v>Moderate utility loss; interaction loss depends on rules.</x:v>
      </x:c>
      <x:c r="H13" s="21" t="str">
        <x:v>creatine; BCAA; EAA; leucine; beta-alanine; L-citrulline</x:v>
      </x:c>
      <x:c r="I13" s="21" t="str">
        <x:v>protein; whey protein; collagen peptides; HMB; carnitine</x:v>
      </x:c>
      <x:c r="J13" s="21" t="n">
        <x:f>IF(H13="",0,LEN(H13)-LEN(SUBSTITUTE(H13,";",""))+1)</x:f>
        <x:v>6</x:v>
      </x:c>
      <x:c r="K13" s="21" t="n">
        <x:f>IF(I13="",0,LEN(I13)-LEN(SUBSTITUTE(I13,";",""))+1)</x:f>
        <x:v>5</x:v>
      </x:c>
      <x:c r="L13" s="21" t="n">
        <x:f>J13+K13</x:f>
        <x:v>11</x:v>
      </x:c>
      <x:c r="M13" s="21" t="str">
        <x:v>Keep generic protein only when product is protein/whey/collagen/meal/shake type.</x:v>
      </x:c>
      <x:c r="N13" s="21" t="str">
        <x:v>Main</x:v>
      </x:c>
      <x:c r="O13" s="21" t="str">
        <x:v>Useful to separate physical performance from cognition.</x:v>
      </x:c>
    </x:row>
    <x:row r="14">
      <x:c r="A14" s="21" t="str">
        <x:v>T2-L1</x:v>
      </x:c>
      <x:c r="B14" s="21" t="str">
        <x:v>Longevity</x:v>
      </x:c>
      <x:c r="C14" s="21" t="str">
        <x:v>NAD+ / Mitochondrial Longevity</x:v>
      </x:c>
      <x:c r="D14" s="21" t="str">
        <x:v>Core longevity stack around NAD, mitochondria, and cellular energy.</x:v>
      </x:c>
      <x:c r="E14" s="21" t="str">
        <x:v>morning/gap/flexible depending on product; some meal-preferred</x:v>
      </x:c>
      <x:c r="F14" s="21" t="str">
        <x:v>Medium-High</x:v>
      </x:c>
      <x:c r="G14" s="21" t="str">
        <x:v>High utility loss; interaction loss depends on current mechanism rules.</x:v>
      </x:c>
      <x:c r="H14" s="21" t="str">
        <x:v>NMN; nicotinamide riboside; NAD+; CoQ10; PQQ; acetyl-L-carnitine; alpha-lipoic acid</x:v>
      </x:c>
      <x:c r="I14" s="21" t="str">
        <x:v>urolithin A; taurine; spermidine</x:v>
      </x:c>
      <x:c r="J14" s="21" t="n">
        <x:f>IF(H14="",0,LEN(H14)-LEN(SUBSTITUTE(H14,";",""))+1)</x:f>
        <x:v>7</x:v>
      </x:c>
      <x:c r="K14" s="21" t="n">
        <x:f>IF(I14="",0,LEN(I14)-LEN(SUBSTITUTE(I14,";",""))+1)</x:f>
        <x:v>3</x:v>
      </x:c>
      <x:c r="L14" s="21" t="n">
        <x:f>J14+K14</x:f>
        <x:v>10</x:v>
      </x:c>
      <x:c r="M14" s="21" t="str">
        <x:v>Prefer clean NAD/mitochondrial products; avoid rare additions if no existing product match.</x:v>
      </x:c>
      <x:c r="N14" s="21" t="str">
        <x:v>Main</x:v>
      </x:c>
      <x:c r="O14" s="21" t="str">
        <x:v>Strong optimization-story group and should stay separate from generic longevity.</x:v>
      </x:c>
    </x:row>
    <x:row r="15">
      <x:c r="A15" s="21" t="str">
        <x:v>T2-L2</x:v>
      </x:c>
      <x:c r="B15" s="21" t="str">
        <x:v>Longevity</x:v>
      </x:c>
      <x:c r="C15" s="21" t="str">
        <x:v>Redox / Glutathione / Antioxidant</x:v>
      </x:c>
      <x:c r="D15" s="21" t="str">
        <x:v>Antioxidant and redox-support group.</x:v>
      </x:c>
      <x:c r="E15" s="21" t="str">
        <x:v>gap_preferred or flexible; some meal_preferred</x:v>
      </x:c>
      <x:c r="F15" s="21" t="str">
        <x:v>High</x:v>
      </x:c>
      <x:c r="G15" s="21" t="str">
        <x:v>High interaction/rule loss if NAC, glutathione, and antioxidant rules are active.</x:v>
      </x:c>
      <x:c r="H15" s="21" t="str">
        <x:v>NAC; glutathione; vitamin C; alpha-lipoic acid; ergothioneine</x:v>
      </x:c>
      <x:c r="I15" s="21" t="str">
        <x:v>2-HOBA; selenium; astaxanthin</x:v>
      </x:c>
      <x:c r="J15" s="21" t="n">
        <x:f>IF(H15="",0,LEN(H15)-LEN(SUBSTITUTE(H15,";",""))+1)</x:f>
        <x:v>5</x:v>
      </x:c>
      <x:c r="K15" s="21" t="n">
        <x:f>IF(I15="",0,LEN(I15)-LEN(SUBSTITUTE(I15,";",""))+1)</x:f>
        <x:v>3</x:v>
      </x:c>
      <x:c r="L15" s="21" t="n">
        <x:f>J15+K15</x:f>
        <x:v>8</x:v>
      </x:c>
      <x:c r="M15" s="21" t="str">
        <x:v>Prefer clean NAC/glutathione/ALA products; keep overlap with E3 only when product purpose fits redox.</x:v>
      </x:c>
      <x:c r="N15" s="21" t="str">
        <x:v>Main</x:v>
      </x:c>
      <x:c r="O15" s="21" t="str">
        <x:v>Good rule-rich group for removal experiments.</x:v>
      </x:c>
    </x:row>
    <x:row r="16">
      <x:c r="A16" s="21" t="str">
        <x:v>T2-L3</x:v>
      </x:c>
      <x:c r="B16" s="21" t="str">
        <x:v>Longevity / Immune</x:v>
      </x:c>
      <x:c r="C16" s="21" t="str">
        <x:v>Polyphenol / Anti-inflammatory Botanical</x:v>
      </x:c>
      <x:c r="D16" s="21" t="str">
        <x:v>Polyphenols and botanicals with antioxidant/anti-inflammatory framing.</x:v>
      </x:c>
      <x:c r="E16" s="21" t="str">
        <x:v>meal_preferred or flexible; some fat-context support</x:v>
      </x:c>
      <x:c r="F16" s="21" t="str">
        <x:v>High</x:v>
      </x:c>
      <x:c r="G16" s="21" t="str">
        <x:v>High rule and food-context loss when removed.</x:v>
      </x:c>
      <x:c r="H16" s="21" t="str">
        <x:v>curcumin; turmeric extract; quercetin; resveratrol; green tea extract; ginger</x:v>
      </x:c>
      <x:c r="I16" s="21" t="str">
        <x:v>fisetin; luteolin; hesperidin; black seed oil; rosemary</x:v>
      </x:c>
      <x:c r="J16" s="21" t="n">
        <x:f>IF(H16="",0,LEN(H16)-LEN(SUBSTITUTE(H16,";",""))+1)</x:f>
        <x:v>6</x:v>
      </x:c>
      <x:c r="K16" s="21" t="n">
        <x:f>IF(I16="",0,LEN(I16)-LEN(SUBSTITUTE(I16,";",""))+1)</x:f>
        <x:v>5</x:v>
      </x:c>
      <x:c r="L16" s="21" t="n">
        <x:f>J16+K16</x:f>
        <x:v>11</x:v>
      </x:c>
      <x:c r="M16" s="21" t="str">
        <x:v>Prefer clean botanical extracts; broad blends only if they are the product's main concept.</x:v>
      </x:c>
      <x:c r="N16" s="21" t="str">
        <x:v>Main</x:v>
      </x:c>
      <x:c r="O16" s="21" t="str">
        <x:v>Very useful for removal analysis because it is rule-rich and common across stacks.</x:v>
      </x:c>
    </x:row>
    <x:row r="17">
      <x:c r="A17" s="21" t="str">
        <x:v>T2-L4</x:v>
      </x:c>
      <x:c r="B17" s="21" t="str">
        <x:v>Longevity</x:v>
      </x:c>
      <x:c r="C17" s="21" t="str">
        <x:v>Cardiometabolic / Glucose-Lipid</x:v>
      </x:c>
      <x:c r="D17" s="21" t="str">
        <x:v>Glucose, lipid, and cardiovascular-metabolic support.</x:v>
      </x:c>
      <x:c r="E17" s="21" t="str">
        <x:v>meal_preferred or medication-specific; spacing may matter</x:v>
      </x:c>
      <x:c r="F17" s="21" t="str">
        <x:v>High</x:v>
      </x:c>
      <x:c r="G17" s="21" t="str">
        <x:v>High scheduling and interaction loss, especially if regulated-drug logic is included.</x:v>
      </x:c>
      <x:c r="H17" s="21" t="str">
        <x:v>berberine; acarbose; metformin; red yeast rice/monacolin K; bergamot; garlic; omega-3</x:v>
      </x:c>
      <x:c r="I17" s="21" t="str">
        <x:v>policosanol; nattokinase; aged garlic extract</x:v>
      </x:c>
      <x:c r="J17" s="21" t="n">
        <x:f>IF(H17="",0,LEN(H17)-LEN(SUBSTITUTE(H17,";",""))+1)</x:f>
        <x:v>7</x:v>
      </x:c>
      <x:c r="K17" s="21" t="n">
        <x:f>IF(I17="",0,LEN(I17)-LEN(SUBSTITUTE(I17,";",""))+1)</x:f>
        <x:v>3</x:v>
      </x:c>
      <x:c r="L17" s="21" t="n">
        <x:f>J17+K17</x:f>
        <x:v>10</x:v>
      </x:c>
      <x:c r="M17" s="21" t="str">
        <x:v>Use existing regulated/supplement products carefully; keep drug-like ingredients clearly marked.</x:v>
      </x:c>
      <x:c r="N17" s="21" t="str">
        <x:v>Main</x:v>
      </x:c>
      <x:c r="O17" s="21" t="str">
        <x:v>Good for showing the model handles supplement + regulated-drug scheduling.</x:v>
      </x:c>
    </x:row>
    <x:row r="18">
      <x:c r="A18" s="21" t="str">
        <x:v>T2-I1</x:v>
      </x:c>
      <x:c r="B18" s="21" t="str">
        <x:v>Immune Support</x:v>
      </x:c>
      <x:c r="C18" s="21" t="str">
        <x:v>Immune Support Baseline</x:v>
      </x:c>
      <x:c r="D18" s="21" t="str">
        <x:v>General immune support without making a biohacker-specific stack.</x:v>
      </x:c>
      <x:c r="E18" s="21" t="str">
        <x:v>meal_preferred or flexible; gut-related products may be wake/gap</x:v>
      </x:c>
      <x:c r="F18" s="21" t="str">
        <x:v>Medium-High</x:v>
      </x:c>
      <x:c r="G18" s="21" t="str">
        <x:v>Moderate-to-high loss; overlap with E1, G1, and L3 should be managed.</x:v>
      </x:c>
      <x:c r="H18" s="21" t="str">
        <x:v>vitamin C; vitamin D; zinc; selenium; probiotics; lactoferrin</x:v>
      </x:c>
      <x:c r="I18" s="21" t="str">
        <x:v>elderberry; echinacea; mushroom extracts; garlic</x:v>
      </x:c>
      <x:c r="J18" s="21" t="n">
        <x:f>IF(H18="",0,LEN(H18)-LEN(SUBSTITUTE(H18,";",""))+1)</x:f>
        <x:v>6</x:v>
      </x:c>
      <x:c r="K18" s="21" t="n">
        <x:f>IF(I18="",0,LEN(I18)-LEN(SUBSTITUTE(I18,";",""))+1)</x:f>
        <x:v>4</x:v>
      </x:c>
      <x:c r="L18" s="21" t="n">
        <x:f>J18+K18</x:f>
        <x:v>10</x:v>
      </x:c>
      <x:c r="M18" s="21" t="str">
        <x:v>Prefer clean immune support products; avoid duplicating too many ingredients already assigned elsewhere.</x:v>
      </x:c>
      <x:c r="N18" s="21" t="str">
        <x:v>Main</x:v>
      </x:c>
      <x:c r="O18" s="21" t="str">
        <x:v>If product/rule coverage grows, split into immune micronutrient and immune botanical defense.</x:v>
      </x:c>
    </x:row>
  </x:sheetData>
  <x:mergeCells>
    <x:mergeCell ref="A1:O1"/>
  </x:mergeCells>
  <x:conditionalFormatting sqref="F4:F18">
    <x:cfRule type="expression" dxfId="0" priority="1">
      <x:formula>F4="High"</x:formula>
    </x:cfRule>
    <x:cfRule type="expression" dxfId="1" priority="2">
      <x:formula>F4="Medium-High"</x:formula>
    </x:cfRule>
  </x:conditionalFormatting>
  <x:dataValidations count="1">
    <x:dataValidation type="list" sqref="N4:N18">
      <x:formula1>"Main,Optional,Review"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e556229f145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18" hidden="0" customWidth="1"/>
    <x:col min="5" max="5" width="48" hidden="0" customWidth="1"/>
    <x:col min="6" max="6" width="52" hidden="0" customWidth="1"/>
    <x:col min="7" max="7" width="48" hidden="0" customWidth="1"/>
    <x:col min="8" max="8" width="46" hidden="0" customWidth="1"/>
    <x:col min="9" max="9" width="34" hidden="0" customWidth="1"/>
  </x:cols>
  <x:sheetData>
    <x:row r="1" ht="24" customHeight="1">
      <x:c r="A1" s="5" t="str">
        <x:v>Optional Extended Splits: Use Only If Product/Rule Coverage Supports Them</x:v>
      </x:c>
      <x:c r="B1" t="str"/>
      <x:c r="C1" t="str"/>
      <x:c r="D1" t="str"/>
      <x:c r="E1" t="str"/>
      <x:c r="F1" t="str"/>
      <x:c r="G1" t="str"/>
      <x:c r="H1" t="str"/>
      <x:c r="I1" t="str"/>
    </x:row>
    <x:row r="3" ht="28" customHeight="1">
      <x:c r="A3" s="14" t="str">
        <x:v>Candidate ID</x:v>
      </x:c>
      <x:c r="B3" s="14" t="str">
        <x:v>Candidate Substack</x:v>
      </x:c>
      <x:c r="C3" s="14" t="str">
        <x:v>Parent Category</x:v>
      </x:c>
      <x:c r="D3" s="14" t="str">
        <x:v>Split From</x:v>
      </x:c>
      <x:c r="E3" s="14" t="str">
        <x:v>Use If</x:v>
      </x:c>
      <x:c r="F3" s="14" t="str">
        <x:v>Representative Ingredients</x:v>
      </x:c>
      <x:c r="G3" s="14" t="str">
        <x:v>Expected Benefit for Removal Analysis</x:v>
      </x:c>
      <x:c r="H3" s="14" t="str">
        <x:v>Risk / Reason to Merge Back</x:v>
      </x:c>
      <x:c r="I3" s="14" t="str">
        <x:v>Recommended Action</x:v>
      </x:c>
    </x:row>
    <x:row r="4">
      <x:c r="A4" s="21" t="str">
        <x:v>T2-G2</x:v>
      </x:c>
      <x:c r="B4" s="21" t="str">
        <x:v>Gut Barrier / Digestive Support</x:v>
      </x:c>
      <x:c r="C4" s="21" t="str">
        <x:v>Gut / Microbiome</x:v>
      </x:c>
      <x:c r="D4" s="21" t="str">
        <x:v>T2-G1</x:v>
      </x:c>
      <x:c r="E4" s="21" t="str">
        <x:v>Enough products exist for glutamine, enzymes, prebiotic fiber, colostrum/butyrate support.</x:v>
      </x:c>
      <x:c r="F4" s="21" t="str">
        <x:v>L-glutamine; digestive enzymes; inulin; prebiotic fiber; colostrum; butyrate-related ingredients</x:v>
      </x:c>
      <x:c r="G4" s="21" t="str">
        <x:v>Separates probiotic timing from digestive/barrier-support timing.</x:v>
      </x:c>
      <x:c r="H4" s="21" t="str">
        <x:v>May be too sparse if most gut products are broad blends.</x:v>
      </x:c>
      <x:c r="I4" s="21" t="str">
        <x:v>Extended only unless product coverage is strong.</x:v>
      </x:c>
    </x:row>
    <x:row r="5">
      <x:c r="A5" s="21" t="str">
        <x:v>T2-S3</x:v>
      </x:c>
      <x:c r="B5" s="21" t="str">
        <x:v>Stress / Adaptogen Recovery</x:v>
      </x:c>
      <x:c r="C5" s="21" t="str">
        <x:v>Sleep Recovery / Stress</x:v>
      </x:c>
      <x:c r="D5" s="21" t="str">
        <x:v>T2-S2</x:v>
      </x:c>
      <x:c r="E5" s="21" t="str">
        <x:v>Adaptogens are common enough and not always sleep-onset products.</x:v>
      </x:c>
      <x:c r="F5" s="21" t="str">
        <x:v>ashwagandha; rhodiola; reishi; lemon balm; panax ginseng; cortisol-support botanicals</x:v>
      </x:c>
      <x:c r="G5" s="21" t="str">
        <x:v>Separates calm/deep-sleep aids from general stress/adaptogen recovery.</x:v>
      </x:c>
      <x:c r="H5" s="21" t="str">
        <x:v>Can overlap with cognition and immune botanical products.</x:v>
      </x:c>
      <x:c r="I5" s="21" t="str">
        <x:v>Use in extended version if removal analysis needs more modules.</x:v>
      </x:c>
    </x:row>
    <x:row r="6">
      <x:c r="A6" s="21" t="str">
        <x:v>T2-I2</x:v>
      </x:c>
      <x:c r="B6" s="21" t="str">
        <x:v>Immune Botanical / Anti-inflammatory Defense</x:v>
      </x:c>
      <x:c r="C6" s="21" t="str">
        <x:v>Immune Support</x:v>
      </x:c>
      <x:c r="D6" s="21" t="str">
        <x:v>T2-I1 or T2-L3</x:v>
      </x:c>
      <x:c r="E6" s="21" t="str">
        <x:v>Immune botanicals have enough product coverage and should not be hidden in polyphenols.</x:v>
      </x:c>
      <x:c r="F6" s="21" t="str">
        <x:v>garlic; black seed oil; echinacea; elderberry; quercetin; curcumin; mushroom extracts</x:v>
      </x:c>
      <x:c r="G6" s="21" t="str">
        <x:v>Tests immune botanical contribution separately from vitamin C/D/zinc baseline.</x:v>
      </x:c>
      <x:c r="H6" s="21" t="str">
        <x:v>Can duplicate L3 polyphenol/anti-inflammatory stack.</x:v>
      </x:c>
      <x:c r="I6" s="21" t="str">
        <x:v>Extended only or sensitivity appendix.</x:v>
      </x:c>
    </x:row>
    <x:row r="7">
      <x:c r="A7" s="21" t="str">
        <x:v>T2-X1</x:v>
      </x:c>
      <x:c r="B7" s="21" t="str">
        <x:v>Eye / Carotenoid Stack</x:v>
      </x:c>
      <x:c r="C7" s="21" t="str">
        <x:v>Essential / Longevity</x:v>
      </x:c>
      <x:c r="D7" s="21" t="str">
        <x:v>T2-E3</x:v>
      </x:c>
      <x:c r="E7" s="21" t="str">
        <x:v>Carotenoids are frequent and eye-health products are cleanly matchable.</x:v>
      </x:c>
      <x:c r="F7" s="21" t="str">
        <x:v>lutein; zeaxanthin; astaxanthin; lycopene; vitamin A; mixed carotenoids</x:v>
      </x:c>
      <x:c r="G7" s="21" t="str">
        <x:v>Creates a visually intuitive carotenoid-specific removal module.</x:v>
      </x:c>
      <x:c r="H7" s="21" t="str">
        <x:v>May be too narrow if most carotenoids already sit in E3.</x:v>
      </x:c>
      <x:c r="I7" s="21" t="str">
        <x:v>Optional; use only if enough distinct products exist.</x:v>
      </x:c>
    </x:row>
    <x:row r="8">
      <x:c r="A8" s="21" t="str">
        <x:v>T2-X2</x:v>
      </x:c>
      <x:c r="B8" s="21" t="str">
        <x:v>Liver / Detox Support</x:v>
      </x:c>
      <x:c r="C8" s="21" t="str">
        <x:v>Longevity / Essential</x:v>
      </x:c>
      <x:c r="D8" s="21" t="str">
        <x:v>T2-L2 or T2-L3</x:v>
      </x:c>
      <x:c r="E8" s="21" t="str">
        <x:v>Liver-support ingredients appear often enough in product pool.</x:v>
      </x:c>
      <x:c r="F8" s="21" t="str">
        <x:v>silymarin; milk thistle; NAC; glutathione; artichoke; dandelion; turmeric</x:v>
      </x:c>
      <x:c r="G8" s="21" t="str">
        <x:v>Could support organ-function removal analysis.</x:v>
      </x:c>
      <x:c r="H8" s="21" t="str">
        <x:v>Term 'detox' can sound less rigorous; use conservative naming if included.</x:v>
      </x:c>
      <x:c r="I8" s="21" t="str">
        <x:v>Optional; maybe appendix only.</x:v>
      </x:c>
    </x:row>
    <x:row r="9">
      <x:c r="A9" s="21" t="str">
        <x:v>T2-X3</x:v>
      </x:c>
      <x:c r="B9" s="21" t="str">
        <x:v>Bone / Joint / Structural Recovery</x:v>
      </x:c>
      <x:c r="C9" s="21" t="str">
        <x:v>Performance / Essential</x:v>
      </x:c>
      <x:c r="D9" s="21" t="str">
        <x:v>T2-P1 or T2-E2</x:v>
      </x:c>
      <x:c r="E9" s="21" t="str">
        <x:v>Structural ingredients are available and should not be mixed with muscle energy.</x:v>
      </x:c>
      <x:c r="F9" s="21" t="str">
        <x:v>collagen peptides; glucosamine; chondroitin; hyaluronic acid; calcium; vitamin D; vitamin K2</x:v>
      </x:c>
      <x:c r="G9" s="21" t="str">
        <x:v>Separates joint/structural support from physical performance.</x:v>
      </x:c>
      <x:c r="H9" s="21" t="str">
        <x:v>Could overlap with E2 minerals and E3 fat-soluble nutrients.</x:v>
      </x:c>
      <x:c r="I9" s="21" t="str">
        <x:v>Optional; useful if removal analysis needs another stable module.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28d119b185c4d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46" hidden="0" customWidth="1"/>
    <x:col min="5" max="5" width="42" hidden="0" customWidth="1"/>
    <x:col min="6" max="6" width="52" hidden="0" customWidth="1"/>
    <x:col min="7" max="7" width="48" hidden="0" customWidth="1"/>
  </x:cols>
  <x:sheetData>
    <x:row r="1" ht="24" customHeight="1">
      <x:c r="A1" s="5" t="str">
        <x:v>Removal Analysis Design Map</x:v>
      </x:c>
      <x:c r="B1" t="str"/>
      <x:c r="C1" t="str"/>
      <x:c r="D1" t="str"/>
      <x:c r="E1" t="str"/>
      <x:c r="F1" t="str"/>
      <x:c r="G1" t="str"/>
    </x:row>
    <x:row r="3" ht="28" customHeight="1">
      <x:c r="A3" s="14" t="str">
        <x:v>Test ID</x:v>
      </x:c>
      <x:c r="B3" s="14" t="str">
        <x:v>Removal Test</x:v>
      </x:c>
      <x:c r="C3" s="14" t="str">
        <x:v>Included / Removed Units</x:v>
      </x:c>
      <x:c r="D3" s="14" t="str">
        <x:v>Purpose</x:v>
      </x:c>
      <x:c r="E3" s="14" t="str">
        <x:v>Expected Signal</x:v>
      </x:c>
      <x:c r="F3" s="14" t="str">
        <x:v>Primary Metrics</x:v>
      </x:c>
      <x:c r="G3" s="14" t="str">
        <x:v>Interpretation</x:v>
      </x:c>
    </x:row>
    <x:row r="4">
      <x:c r="A4" s="21" t="str">
        <x:v>R1</x:v>
      </x:c>
      <x:c r="B4" s="21" t="str">
        <x:v>Single-substack removal</x:v>
      </x:c>
      <x:c r="C4" s="21" t="str">
        <x:v>Remove one T2 substack at a time.</x:v>
      </x:c>
      <x:c r="D4" s="21" t="str">
        <x:v>Estimate marginal contribution of each general functional module.</x:v>
      </x:c>
      <x:c r="E4" s="21" t="str">
        <x:v>Rule-rich modules should show larger objective/timing/interaction loss.</x:v>
      </x:c>
      <x:c r="F4" s="21" t="str">
        <x:v>objective value; baseline utility; mechanism score; extra-effect score; food/meal score; selected product count</x:v>
      </x:c>
      <x:c r="G4" s="21" t="str">
        <x:v>Main removal analysis table.</x:v>
      </x:c>
    </x:row>
    <x:row r="5">
      <x:c r="A5" s="21" t="str">
        <x:v>R2</x:v>
      </x:c>
      <x:c r="B5" s="21" t="str">
        <x:v>Parent-category removal</x:v>
      </x:c>
      <x:c r="C5" s="21" t="str">
        <x:v>Remove all substacks under one parent category.</x:v>
      </x:c>
      <x:c r="D5" s="21" t="str">
        <x:v>Compare broad category-level contribution.</x:v>
      </x:c>
      <x:c r="E5" s="21" t="str">
        <x:v>Longevity, cognition/performance, and sleep may show distinct removal signatures.</x:v>
      </x:c>
      <x:c r="F5" s="21" t="str">
        <x:v>objective drop; percentage drop; number of affected products; rule-trigger count</x:v>
      </x:c>
      <x:c r="G5" s="21" t="str">
        <x:v>Good for high-level narrative.</x:v>
      </x:c>
    </x:row>
    <x:row r="6">
      <x:c r="A6" s="21" t="str">
        <x:v>R3</x:v>
      </x:c>
      <x:c r="B6" s="21" t="str">
        <x:v>Rule-rich group removal</x:v>
      </x:c>
      <x:c r="C6" s="21" t="str">
        <x:v>Remove E2, E3, G1, S1, C2, L3, L4.</x:v>
      </x:c>
      <x:c r="D6" s="21" t="str">
        <x:v>Test whether interaction-aware scheduling matters most for rule-dense substacks.</x:v>
      </x:c>
      <x:c r="E6" s="21" t="str">
        <x:v>Large decrease in interaction and timing components.</x:v>
      </x:c>
      <x:c r="F6" s="21" t="str">
        <x:v>interaction score loss; timing penalty increase; feasibility/eligibility changes</x:v>
      </x:c>
      <x:c r="G6" s="21" t="str">
        <x:v>Strong optimization-flavored analysis.</x:v>
      </x:c>
    </x:row>
    <x:row r="7">
      <x:c r="A7" s="21" t="str">
        <x:v>R4</x:v>
      </x:c>
      <x:c r="B7" s="21" t="str">
        <x:v>Rule-sparse group removal</x:v>
      </x:c>
      <x:c r="C7" s="21" t="str">
        <x:v>Remove E1, C3, P1, I1.</x:v>
      </x:c>
      <x:c r="D7" s="21" t="str">
        <x:v>Comparator against R3.</x:v>
      </x:c>
      <x:c r="E7" s="21" t="str">
        <x:v>Smaller interaction loss for similar product count.</x:v>
      </x:c>
      <x:c r="F7" s="21" t="str">
        <x:v>objective drop normalized by product count; rule-trigger drop</x:v>
      </x:c>
      <x:c r="G7" s="21" t="str">
        <x:v>Supports claim that rules, not only product count, drive improvement.</x:v>
      </x:c>
    </x:row>
    <x:row r="8">
      <x:c r="A8" s="21" t="str">
        <x:v>R5</x:v>
      </x:c>
      <x:c r="B8" s="21" t="str">
        <x:v>Timing-sensitive removal</x:v>
      </x:c>
      <x:c r="C8" s="21" t="str">
        <x:v>Remove S1, C2, E3, G1.</x:v>
      </x:c>
      <x:c r="D8" s="21" t="str">
        <x:v>Focus on special-time, meal, gap, or bed/morning-sensitive modules.</x:v>
      </x:c>
      <x:c r="E8" s="21" t="str">
        <x:v>Scheduling quality changes substantially.</x:v>
      </x:c>
      <x:c r="F8" s="21" t="str">
        <x:v>window assignment shifts; meal/gap score; late-day stimulant conflicts; bed-window adherence</x:v>
      </x:c>
      <x:c r="G8" s="21" t="str">
        <x:v>Good for timing-sensitivity section.</x:v>
      </x:c>
    </x:row>
    <x:row r="9">
      <x:c r="A9" s="21" t="str">
        <x:v>R6</x:v>
      </x:c>
      <x:c r="B9" s="21" t="str">
        <x:v>Regulated/metabolic removal</x:v>
      </x:c>
      <x:c r="C9" s="21" t="str">
        <x:v>Remove L4 only, or remove L4 plus regulated-drug ingredients.</x:v>
      </x:c>
      <x:c r="D9" s="21" t="str">
        <x:v>Show handling of drug-like scheduling or stricter constraints.</x:v>
      </x:c>
      <x:c r="E9" s="21" t="str">
        <x:v>May change feasibility and eligibility more than utility.</x:v>
      </x:c>
      <x:c r="F9" s="21" t="str">
        <x:v>hard constraint activations; spacing conflicts; objective drop</x:v>
      </x:c>
      <x:c r="G9" s="21" t="str">
        <x:v>Use carefully; mark as sensitivity if regulated products are sparse.</x:v>
      </x:c>
    </x:row>
    <x:row r="10">
      <x:c r="A10" s="21" t="str">
        <x:v>R7</x:v>
      </x:c>
      <x:c r="B10" s="21" t="str">
        <x:v>Core baseline vs specialized removal</x:v>
      </x:c>
      <x:c r="C10" s="21" t="str">
        <x:v>Compare E1/I1 removal against C1/C2/L3/L4 removal.</x:v>
      </x:c>
      <x:c r="D10" s="21" t="str">
        <x:v>Separate general health baseline from mechanism-specific specialized substacks.</x:v>
      </x:c>
      <x:c r="E10" s="21" t="str">
        <x:v>Specialized stacks should show more interaction/timing signal.</x:v>
      </x:c>
      <x:c r="F10" s="21" t="str">
        <x:v>objective drop; interaction component drop; rule density-adjusted drop</x:v>
      </x:c>
      <x:c r="G10" s="21" t="str">
        <x:v>Useful for framing Type-II design.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1842b6996a140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8" hidden="0" customWidth="1"/>
    <x:col min="5" max="5" width="22" hidden="0" customWidth="1"/>
    <x:col min="6" max="6" width="26" hidden="0" customWidth="1"/>
    <x:col min="7" max="7" width="18" hidden="0" customWidth="1"/>
    <x:col min="8" max="8" width="60" hidden="0" customWidth="1"/>
  </x:cols>
  <x:sheetData>
    <x:row r="1" ht="24" customHeight="1">
      <x:c r="A1" s="5" t="str">
        <x:v>Substack Rule Density and Removal Priority Matrix</x:v>
      </x:c>
      <x:c r="B1" t="str"/>
      <x:c r="C1" t="str"/>
      <x:c r="D1" t="str"/>
      <x:c r="E1" t="str"/>
      <x:c r="F1" t="str"/>
      <x:c r="G1" t="str"/>
      <x:c r="H1" t="str"/>
    </x:row>
    <x:row r="3" ht="28" customHeight="1">
      <x:c r="A3" s="14" t="str">
        <x:v>Substack ID</x:v>
      </x:c>
      <x:c r="B3" s="14" t="str">
        <x:v>Substack Name</x:v>
      </x:c>
      <x:c r="C3" s="14" t="str">
        <x:v>Rule-Rich?</x:v>
      </x:c>
      <x:c r="D3" s="14" t="str">
        <x:v>Timing-Sensitive?</x:v>
      </x:c>
      <x:c r="E3" s="14" t="str">
        <x:v>Food-Context-Sensitive?</x:v>
      </x:c>
      <x:c r="F3" s="14" t="str">
        <x:v>Mechanism/Extra-effect Potential</x:v>
      </x:c>
      <x:c r="G3" s="14" t="str">
        <x:v>Removal Priority</x:v>
      </x:c>
      <x:c r="H3" s="14" t="str">
        <x:v>Why This Helps</x:v>
      </x:c>
    </x:row>
    <x:row r="4">
      <x:c r="A4" s="21" t="str">
        <x:v>T2-E1</x:v>
      </x:c>
      <x:c r="B4" s="21" t="str">
        <x:v>Core Micronutrient Baseline</x:v>
      </x:c>
      <x:c r="C4" s="21" t="str">
        <x:v>No/Medium</x:v>
      </x:c>
      <x:c r="D4" s="21" t="str">
        <x:v>Low</x:v>
      </x:c>
      <x:c r="E4" s="21" t="str">
        <x:v>Medium</x:v>
      </x:c>
      <x:c r="F4" s="21" t="str">
        <x:v>Low-Medium</x:v>
      </x:c>
      <x:c r="G4" s="21" t="str">
        <x:v>Comparator</x:v>
      </x:c>
      <x:c r="H4" s="21" t="str">
        <x:v>Stable baseline group; useful as rule-sparse comparator.</x:v>
      </x:c>
    </x:row>
    <x:row r="5">
      <x:c r="A5" s="21" t="str">
        <x:v>T2-E2</x:v>
      </x:c>
      <x:c r="B5" s="21" t="str">
        <x:v>Mineral Absorption / Recovery</x:v>
      </x:c>
      <x:c r="C5" s="21" t="str">
        <x:v>Yes</x:v>
      </x:c>
      <x:c r="D5" s="21" t="str">
        <x:v>Medium</x:v>
      </x:c>
      <x:c r="E5" s="21" t="str">
        <x:v>High</x:v>
      </x:c>
      <x:c r="F5" s="21" t="str">
        <x:v>Medium</x:v>
      </x:c>
      <x:c r="G5" s="21" t="str">
        <x:v>High</x:v>
      </x:c>
      <x:c r="H5" s="21" t="str">
        <x:v>Mineral-food and mineral-mineral spacing logic can be tested.</x:v>
      </x:c>
    </x:row>
    <x:row r="6">
      <x:c r="A6" s="21" t="str">
        <x:v>T2-E3</x:v>
      </x:c>
      <x:c r="B6" s="21" t="str">
        <x:v>Fat-Soluble / Omega / Carotenoid</x:v>
      </x:c>
      <x:c r="C6" s="21" t="str">
        <x:v>Yes</x:v>
      </x:c>
      <x:c r="D6" s="21" t="str">
        <x:v>High</x:v>
      </x:c>
      <x:c r="E6" s="21" t="str">
        <x:v>High</x:v>
      </x:c>
      <x:c r="F6" s="21" t="str">
        <x:v>Medium</x:v>
      </x:c>
      <x:c r="G6" s="21" t="str">
        <x:v>High</x:v>
      </x:c>
      <x:c r="H6" s="21" t="str">
        <x:v>Meal/fat context and anti-inflammatory/fat-soluble logic are interpretable.</x:v>
      </x:c>
    </x:row>
    <x:row r="7">
      <x:c r="A7" s="21" t="str">
        <x:v>T2-G1</x:v>
      </x:c>
      <x:c r="B7" s="21" t="str">
        <x:v>Gut / Microbiome Foundation</x:v>
      </x:c>
      <x:c r="C7" s="21" t="str">
        <x:v>Yes</x:v>
      </x:c>
      <x:c r="D7" s="21" t="str">
        <x:v>High</x:v>
      </x:c>
      <x:c r="E7" s="21" t="str">
        <x:v>High</x:v>
      </x:c>
      <x:c r="F7" s="21" t="str">
        <x:v>Medium</x:v>
      </x:c>
      <x:c r="G7" s="21" t="str">
        <x:v>High</x:v>
      </x:c>
      <x:c r="H7" s="21" t="str">
        <x:v>Empty/gap preference and acidic-food rules can drive scheduling differences.</x:v>
      </x:c>
    </x:row>
    <x:row r="8">
      <x:c r="A8" s="21" t="str">
        <x:v>T2-S1</x:v>
      </x:c>
      <x:c r="B8" s="21" t="str">
        <x:v>Sleep Onset / Circadian</x:v>
      </x:c>
      <x:c r="C8" s="21" t="str">
        <x:v>Yes</x:v>
      </x:c>
      <x:c r="D8" s="21" t="str">
        <x:v>High</x:v>
      </x:c>
      <x:c r="E8" s="21" t="str">
        <x:v>Low</x:v>
      </x:c>
      <x:c r="F8" s="21" t="str">
        <x:v>Medium</x:v>
      </x:c>
      <x:c r="G8" s="21" t="str">
        <x:v>High</x:v>
      </x:c>
      <x:c r="H8" s="21" t="str">
        <x:v>Bedtime/special-time signal should be easy to explain.</x:v>
      </x:c>
    </x:row>
    <x:row r="9">
      <x:c r="A9" s="21" t="str">
        <x:v>T2-S2</x:v>
      </x:c>
      <x:c r="B9" s="21" t="str">
        <x:v>Calm / Stress / Deep Sleep Recovery</x:v>
      </x:c>
      <x:c r="C9" s="21" t="str">
        <x:v>Medium</x:v>
      </x:c>
      <x:c r="D9" s="21" t="str">
        <x:v>Medium-High</x:v>
      </x:c>
      <x:c r="E9" s="21" t="str">
        <x:v>Low</x:v>
      </x:c>
      <x:c r="F9" s="21" t="str">
        <x:v>Medium</x:v>
      </x:c>
      <x:c r="G9" s="21" t="str">
        <x:v>Medium</x:v>
      </x:c>
      <x:c r="H9" s="21" t="str">
        <x:v>Useful bridge between sleep and stress recovery.</x:v>
      </x:c>
    </x:row>
    <x:row r="10">
      <x:c r="A10" s="21" t="str">
        <x:v>T2-C1</x:v>
      </x:c>
      <x:c r="B10" s="21" t="str">
        <x:v>Cholinergic / Memory</x:v>
      </x:c>
      <x:c r="C10" s="21" t="str">
        <x:v>Yes</x:v>
      </x:c>
      <x:c r="D10" s="21" t="str">
        <x:v>Medium</x:v>
      </x:c>
      <x:c r="E10" s="21" t="str">
        <x:v>Low</x:v>
      </x:c>
      <x:c r="F10" s="21" t="str">
        <x:v>High</x:v>
      </x:c>
      <x:c r="G10" s="21" t="str">
        <x:v>High</x:v>
      </x:c>
      <x:c r="H10" s="21" t="str">
        <x:v>Clear cognition mechanism line; good for ingredient-level removal.</x:v>
      </x:c>
    </x:row>
    <x:row r="11">
      <x:c r="A11" s="21" t="str">
        <x:v>T2-C2</x:v>
      </x:c>
      <x:c r="B11" s="21" t="str">
        <x:v>Focus / Stimulant</x:v>
      </x:c>
      <x:c r="C11" s="21" t="str">
        <x:v>Yes</x:v>
      </x:c>
      <x:c r="D11" s="21" t="str">
        <x:v>High</x:v>
      </x:c>
      <x:c r="E11" s="21" t="str">
        <x:v>Low</x:v>
      </x:c>
      <x:c r="F11" s="21" t="str">
        <x:v>High</x:v>
      </x:c>
      <x:c r="G11" s="21" t="str">
        <x:v>High</x:v>
      </x:c>
      <x:c r="H11" s="21" t="str">
        <x:v>Late-day conflict and sleep interaction are strong and intuitive.</x:v>
      </x:c>
    </x:row>
    <x:row r="12">
      <x:c r="A12" s="21" t="str">
        <x:v>T2-C3</x:v>
      </x:c>
      <x:c r="B12" s="21" t="str">
        <x:v>Non-Stimulant Neuroenergy</x:v>
      </x:c>
      <x:c r="C12" s="21" t="str">
        <x:v>Medium</x:v>
      </x:c>
      <x:c r="D12" s="21" t="str">
        <x:v>Medium</x:v>
      </x:c>
      <x:c r="E12" s="21" t="str">
        <x:v>Low</x:v>
      </x:c>
      <x:c r="F12" s="21" t="str">
        <x:v>Medium</x:v>
      </x:c>
      <x:c r="G12" s="21" t="str">
        <x:v>Medium</x:v>
      </x:c>
      <x:c r="H12" s="21" t="str">
        <x:v>Useful for comparing stimulant vs non-stimulant cognition modules.</x:v>
      </x:c>
    </x:row>
    <x:row r="13">
      <x:c r="A13" s="21" t="str">
        <x:v>T2-P1</x:v>
      </x:c>
      <x:c r="B13" s="21" t="str">
        <x:v>Physical Performance / Muscle-Energy</x:v>
      </x:c>
      <x:c r="C13" s="21" t="str">
        <x:v>Medium</x:v>
      </x:c>
      <x:c r="D13" s="21" t="str">
        <x:v>Medium</x:v>
      </x:c>
      <x:c r="E13" s="21" t="str">
        <x:v>Low-Medium</x:v>
      </x:c>
      <x:c r="F13" s="21" t="str">
        <x:v>Low-Medium</x:v>
      </x:c>
      <x:c r="G13" s="21" t="str">
        <x:v>Medium</x:v>
      </x:c>
      <x:c r="H13" s="21" t="str">
        <x:v>Good general performance module; rules may be less dense.</x:v>
      </x:c>
    </x:row>
    <x:row r="14">
      <x:c r="A14" s="21" t="str">
        <x:v>T2-L1</x:v>
      </x:c>
      <x:c r="B14" s="21" t="str">
        <x:v>NAD+ / Mitochondrial Longevity</x:v>
      </x:c>
      <x:c r="C14" s="21" t="str">
        <x:v>Medium</x:v>
      </x:c>
      <x:c r="D14" s="21" t="str">
        <x:v>Medium</x:v>
      </x:c>
      <x:c r="E14" s="21" t="str">
        <x:v>Low-Medium</x:v>
      </x:c>
      <x:c r="F14" s="21" t="str">
        <x:v>Medium</x:v>
      </x:c>
      <x:c r="G14" s="21" t="str">
        <x:v>High</x:v>
      </x:c>
      <x:c r="H14" s="21" t="str">
        <x:v>Central longevity group with strong narrative value.</x:v>
      </x:c>
    </x:row>
    <x:row r="15">
      <x:c r="A15" s="21" t="str">
        <x:v>T2-L2</x:v>
      </x:c>
      <x:c r="B15" s="21" t="str">
        <x:v>Redox / Glutathione / Antioxidant</x:v>
      </x:c>
      <x:c r="C15" s="21" t="str">
        <x:v>Yes</x:v>
      </x:c>
      <x:c r="D15" s="21" t="str">
        <x:v>Medium</x:v>
      </x:c>
      <x:c r="E15" s="21" t="str">
        <x:v>Low-Medium</x:v>
      </x:c>
      <x:c r="F15" s="21" t="str">
        <x:v>High</x:v>
      </x:c>
      <x:c r="G15" s="21" t="str">
        <x:v>High</x:v>
      </x:c>
      <x:c r="H15" s="21" t="str">
        <x:v>NAC/glutathione/antioxidant rules can support interaction analysis.</x:v>
      </x:c>
    </x:row>
    <x:row r="16">
      <x:c r="A16" s="21" t="str">
        <x:v>T2-L3</x:v>
      </x:c>
      <x:c r="B16" s="21" t="str">
        <x:v>Polyphenol / Anti-inflammatory Botanical</x:v>
      </x:c>
      <x:c r="C16" s="21" t="str">
        <x:v>Yes</x:v>
      </x:c>
      <x:c r="D16" s="21" t="str">
        <x:v>Medium</x:v>
      </x:c>
      <x:c r="E16" s="21" t="str">
        <x:v>Medium-High</x:v>
      </x:c>
      <x:c r="F16" s="21" t="str">
        <x:v>High</x:v>
      </x:c>
      <x:c r="G16" s="21" t="str">
        <x:v>High</x:v>
      </x:c>
      <x:c r="H16" s="21" t="str">
        <x:v>Rule-rich botanical group; strong for removal and food-context analysis.</x:v>
      </x:c>
    </x:row>
    <x:row r="17">
      <x:c r="A17" s="21" t="str">
        <x:v>T2-L4</x:v>
      </x:c>
      <x:c r="B17" s="21" t="str">
        <x:v>Cardiometabolic / Glucose-Lipid</x:v>
      </x:c>
      <x:c r="C17" s="21" t="str">
        <x:v>Yes</x:v>
      </x:c>
      <x:c r="D17" s="21" t="str">
        <x:v>High</x:v>
      </x:c>
      <x:c r="E17" s="21" t="str">
        <x:v>Medium-High</x:v>
      </x:c>
      <x:c r="F17" s="21" t="str">
        <x:v>High</x:v>
      </x:c>
      <x:c r="G17" s="21" t="str">
        <x:v>High</x:v>
      </x:c>
      <x:c r="H17" s="21" t="str">
        <x:v>Drug-like/metabolic timing and interaction logic can be highlighted.</x:v>
      </x:c>
    </x:row>
    <x:row r="18">
      <x:c r="A18" s="21" t="str">
        <x:v>T2-I1</x:v>
      </x:c>
      <x:c r="B18" s="21" t="str">
        <x:v>Immune Support Baseline</x:v>
      </x:c>
      <x:c r="C18" s="21" t="str">
        <x:v>Medium</x:v>
      </x:c>
      <x:c r="D18" s="21" t="str">
        <x:v>Medium</x:v>
      </x:c>
      <x:c r="E18" s="21" t="str">
        <x:v>Medium</x:v>
      </x:c>
      <x:c r="F18" s="21" t="str">
        <x:v>Medium</x:v>
      </x:c>
      <x:c r="G18" s="21" t="str">
        <x:v>Medium</x:v>
      </x:c>
      <x:c r="H18" s="21" t="str">
        <x:v>Useful immune baseline; manage overlap with E1/G1/L3.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98ba5641624c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16" hidden="0" customWidth="1"/>
    <x:col min="4" max="4" width="34" hidden="0" customWidth="1"/>
    <x:col min="5" max="5" width="60" hidden="0" customWidth="1"/>
  </x:cols>
  <x:sheetData>
    <x:row r="1" ht="24" customHeight="1">
      <x:c r="A1" s="5" t="str">
        <x:v>Execution Checklist for Type-II Substack Construction</x:v>
      </x:c>
      <x:c r="B1" t="str"/>
      <x:c r="C1" t="str"/>
      <x:c r="D1" t="str"/>
      <x:c r="E1" t="str"/>
    </x:row>
    <x:row r="3" ht="28" customHeight="1">
      <x:c r="A3" s="14" t="str">
        <x:v>Step</x:v>
      </x:c>
      <x:c r="B3" s="14" t="str">
        <x:v>Task</x:v>
      </x:c>
      <x:c r="C3" s="14" t="str">
        <x:v>Status</x:v>
      </x:c>
      <x:c r="D3" s="14" t="str">
        <x:v>Decision / Output</x:v>
      </x:c>
      <x:c r="E3" s="14" t="str">
        <x:v>Notes</x:v>
      </x:c>
    </x:row>
    <x:row r="4">
      <x:c r="A4" s="21" t="n">
        <x:v>1</x:v>
      </x:c>
      <x:c r="B4" s="21" t="str">
        <x:v>Confirm the 15 main substack names and IDs.</x:v>
      </x:c>
      <x:c r="C4" s="21" t="str">
        <x:v>Review</x:v>
      </x:c>
      <x:c r="D4" s="21" t="str"/>
      <x:c r="E4" s="21" t="str">
        <x:v>Use Main_15_Substacks as the default plan.</x:v>
      </x:c>
    </x:row>
    <x:row r="5">
      <x:c r="A5" s="21" t="n">
        <x:v>2</x:v>
      </x:c>
      <x:c r="B5" s="21" t="str">
        <x:v>For each substack, select 4–8 core/optional ingredients.</x:v>
      </x:c>
      <x:c r="C5" s="21" t="str">
        <x:v>Review</x:v>
      </x:c>
      <x:c r="D5" s="21" t="str"/>
      <x:c r="E5" s="21" t="str">
        <x:v>Do not force rare ingredients if product coverage is weak.</x:v>
      </x:c>
    </x:row>
    <x:row r="6">
      <x:c r="A6" s="21" t="n">
        <x:v>3</x:v>
      </x:c>
      <x:c r="B6" s="21" t="str">
        <x:v>Match each selected ingredient to existing product_id where possible.</x:v>
      </x:c>
      <x:c r="C6" s="21" t="str">
        <x:v>Not Started</x:v>
      </x:c>
      <x:c r="D6" s="21" t="str"/>
      <x:c r="E6" s="21" t="str">
        <x:v>Prefer clean single-ingredient products; ignore recommender during product matching.</x:v>
      </x:c>
    </x:row>
    <x:row r="7">
      <x:c r="A7" s="21" t="n">
        <x:v>4</x:v>
      </x:c>
      <x:c r="B7" s="21" t="str">
        <x:v>Only add new product rows if a product/brand/ingredient combination is clearly present in current Excel.</x:v>
      </x:c>
      <x:c r="C7" s="21" t="str">
        <x:v>Not Started</x:v>
      </x:c>
      <x:c r="D7" s="21" t="str"/>
      <x:c r="E7" s="21" t="str">
        <x:v>Avoid expanding the dataset just to fill a substack.</x:v>
      </x:c>
    </x:row>
    <x:row r="8">
      <x:c r="A8" s="21" t="n">
        <x:v>5</x:v>
      </x:c>
      <x:c r="B8" s="21" t="str">
        <x:v>Mark each substack as rule-rich, timing-sensitive, food-context-sensitive, or comparator.</x:v>
      </x:c>
      <x:c r="C8" s="21" t="str">
        <x:v>Review</x:v>
      </x:c>
      <x:c r="D8" s="21" t="str"/>
      <x:c r="E8" s="21" t="str">
        <x:v>Use Removal_Rule_Matrix as starting point.</x:v>
      </x:c>
    </x:row>
    <x:row r="9">
      <x:c r="A9" s="21" t="n">
        <x:v>6</x:v>
      </x:c>
      <x:c r="B9" s="21" t="str">
        <x:v>Construct Type-II synthetic stack setting files.</x:v>
      </x:c>
      <x:c r="C9" s="21" t="str">
        <x:v>Not Started</x:v>
      </x:c>
      <x:c r="D9" s="21" t="str"/>
      <x:c r="E9" s="21" t="str">
        <x:v>These are general functional substacks, not biohacker-specific stacks.</x:v>
      </x:c>
    </x:row>
    <x:row r="10">
      <x:c r="A10" s="21" t="n">
        <x:v>7</x:v>
      </x:c>
      <x:c r="B10" s="21" t="str">
        <x:v>Run baseline optimization for full Type-II stack.</x:v>
      </x:c>
      <x:c r="C10" s="21" t="str">
        <x:v>Not Started</x:v>
      </x:c>
      <x:c r="D10" s="21" t="str"/>
      <x:c r="E10" s="21" t="str">
        <x:v>Record objective components and selected windows.</x:v>
      </x:c>
    </x:row>
    <x:row r="11">
      <x:c r="A11" s="21" t="n">
        <x:v>8</x:v>
      </x:c>
      <x:c r="B11" s="21" t="str">
        <x:v>Run single-substack removal experiments.</x:v>
      </x:c>
      <x:c r="C11" s="21" t="str">
        <x:v>Not Started</x:v>
      </x:c>
      <x:c r="D11" s="21" t="str"/>
      <x:c r="E11" s="21" t="str">
        <x:v>R1 in Removal_Analysis_Map.</x:v>
      </x:c>
    </x:row>
    <x:row r="12">
      <x:c r="A12" s="21" t="n">
        <x:v>9</x:v>
      </x:c>
      <x:c r="B12" s="21" t="str">
        <x:v>Run grouped removal experiments.</x:v>
      </x:c>
      <x:c r="C12" s="21" t="str">
        <x:v>Not Started</x:v>
      </x:c>
      <x:c r="D12" s="21" t="str"/>
      <x:c r="E12" s="21" t="str">
        <x:v>R2–R7 in Removal_Analysis_Map.</x:v>
      </x:c>
    </x:row>
    <x:row r="13">
      <x:c r="A13" s="21" t="n">
        <x:v>10</x:v>
      </x:c>
      <x:c r="B13" s="21" t="str">
        <x:v>Summarize results by objective drop, interaction loss, and timing/food-context change.</x:v>
      </x:c>
      <x:c r="C13" s="21" t="str">
        <x:v>Not Started</x:v>
      </x:c>
      <x:c r="D13" s="21" t="str"/>
      <x:c r="E13" s="21" t="str">
        <x:v>Use normalized drops where product counts differ.</x:v>
      </x:c>
    </x:row>
  </x:sheetData>
  <x:mergeCells>
    <x:mergeCell ref="A1:E1"/>
  </x:mergeCells>
  <x:conditionalFormatting sqref="C4:C13">
    <x:cfRule type="expression" dxfId="2" priority="1">
      <x:formula>C4="Done"</x:formula>
    </x:cfRule>
    <x:cfRule type="expression" dxfId="3" priority="2">
      <x:formula>C4="Review"</x:formula>
    </x:cfRule>
    <x:cfRule type="expression" dxfId="4" priority="3">
      <x:formula>C4="Blocked"</x:formula>
    </x:cfRule>
  </x:conditionalFormatting>
  <x:dataValidations count="1">
    <x:dataValidation type="list" sqref="C4:C13">
      <x:formula1>"Not Started,In Progress,Review,Done,Blocked"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255761cdf44818"/>
  </x:tableParts>
</x:worksheet>
</file>